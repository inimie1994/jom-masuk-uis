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uawei\Documents\FOLDER PENSYARAH\Aqidah\Soal Selidik\2025_2026\"/>
    </mc:Choice>
  </mc:AlternateContent>
  <xr:revisionPtr revIDLastSave="0" documentId="8_{350E575B-2584-4A1B-8763-CBC3DE815ED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dited Sept 17 " sheetId="1" r:id="rId1"/>
  </sheets>
  <definedNames>
    <definedName name="_xlnm.Print_Area" localSheetId="0">'Edited Sept 17 '!$A$1:$AV$71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1" l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5" i="1"/>
  <c r="AT35" i="1" s="1"/>
  <c r="AR34" i="1"/>
  <c r="AT34" i="1" s="1"/>
  <c r="AR33" i="1"/>
  <c r="AT33" i="1" s="1"/>
  <c r="AR32" i="1"/>
  <c r="AT32" i="1" s="1"/>
  <c r="AR31" i="1"/>
  <c r="AT31" i="1" s="1"/>
  <c r="AV31" i="1" s="1"/>
  <c r="AR30" i="1"/>
  <c r="AT30" i="1" s="1"/>
  <c r="AR29" i="1"/>
  <c r="AT29" i="1" s="1"/>
  <c r="AR28" i="1"/>
  <c r="AT28" i="1" s="1"/>
  <c r="AR27" i="1"/>
  <c r="AT27" i="1" s="1"/>
  <c r="AR26" i="1"/>
  <c r="AT26" i="1" s="1"/>
  <c r="AR25" i="1"/>
  <c r="AT25" i="1" s="1"/>
  <c r="AR24" i="1"/>
  <c r="AV33" i="1" l="1"/>
  <c r="AU36" i="1"/>
  <c r="U63" i="1" s="1"/>
  <c r="AR36" i="1"/>
  <c r="AT36" i="1" s="1"/>
  <c r="AT24" i="1"/>
  <c r="AV24" i="1" s="1"/>
</calcChain>
</file>

<file path=xl/sharedStrings.xml><?xml version="1.0" encoding="utf-8"?>
<sst xmlns="http://schemas.openxmlformats.org/spreadsheetml/2006/main" count="66" uniqueCount="56">
  <si>
    <t>LABSS/FAKULTI/2022/PIN. 2</t>
  </si>
  <si>
    <t>LAPORAN ANALISIS BORANG SOAL SELIDIK PENGAJARAN DAN PEMBELAJARAN</t>
  </si>
  <si>
    <t>A. Butiran Pengajaran</t>
  </si>
  <si>
    <t xml:space="preserve">Nama Pensyarah </t>
  </si>
  <si>
    <t>:</t>
  </si>
  <si>
    <t>Kod &amp; Nama Kursus</t>
  </si>
  <si>
    <t>Sesi Akademik</t>
  </si>
  <si>
    <t>Tahun Akademik</t>
  </si>
  <si>
    <t>Jam Kredit</t>
  </si>
  <si>
    <t>Jam Pertemuan Seminggu</t>
  </si>
  <si>
    <t>Tempoh Pelaksanaan PdP</t>
  </si>
  <si>
    <t>Dari:</t>
  </si>
  <si>
    <t>Hingga:</t>
  </si>
  <si>
    <t>Jumlah Keseluruhan Pelajar</t>
  </si>
  <si>
    <t>Orang</t>
  </si>
  <si>
    <t>Bilangan  Responden</t>
  </si>
  <si>
    <r>
      <rPr>
        <b/>
        <sz val="12"/>
        <color theme="1"/>
        <rFont val="Arial Narrow"/>
      </rPr>
      <t xml:space="preserve">B. Penilaian : </t>
    </r>
    <r>
      <rPr>
        <sz val="12"/>
        <color theme="1"/>
        <rFont val="Arial Narrow"/>
      </rPr>
      <t>Penilaian pelajar terhadap kursus mengikut komponen di bawah:</t>
    </r>
  </si>
  <si>
    <t>Komponen</t>
  </si>
  <si>
    <t>Aspek Penilaian</t>
  </si>
  <si>
    <t>Bilangan Responden dan Skala/ Markah yang Diberikan</t>
  </si>
  <si>
    <t>Jumlah Markah Setiap Aspek</t>
  </si>
  <si>
    <t>Markah Purata Setiap Aspek</t>
  </si>
  <si>
    <t>Purata</t>
  </si>
  <si>
    <t>Pengajaran dan Pembelajaran</t>
  </si>
  <si>
    <t>Perancangan dan penyediaan kursus ini adalah baik</t>
  </si>
  <si>
    <t>Pegawai akademik mempunyai pengetahuan yang mendalam tentang kursus</t>
  </si>
  <si>
    <t>Pegawai akademik mempunyai kemahiran dalam penyampaian kandungan kursus</t>
  </si>
  <si>
    <t>Pegawai akademik menggunakan maklumat yang relevan dan terkini</t>
  </si>
  <si>
    <t>Pegawai akademik merangsang minat pelajar dengan kreatif dan inovatif</t>
  </si>
  <si>
    <t>Pegawai akademik berinteraksi dengan baik dan bersedia membantu pelajar</t>
  </si>
  <si>
    <t>Pegawai akademik menggunakan bahan bantu mengajar yang bersesuaian</t>
  </si>
  <si>
    <t>Pengujian dan Penilaian</t>
  </si>
  <si>
    <t>Kaedah dan strategi penilaian kursus adalah bersesuaian (tugasan/ ujian/ amali/ peperiksaan akhir/ dll.)</t>
  </si>
  <si>
    <t>Pemarkahan yang diberikan oleh pegawai akademik adalah telus dan adil</t>
  </si>
  <si>
    <t>Keterampilan dan Profesionalisme</t>
  </si>
  <si>
    <t>Penampilan pegawai akademik adalah baik</t>
  </si>
  <si>
    <t>Pegawai akademik mengamalkan ketepatan waktu</t>
  </si>
  <si>
    <t>Pegawai akademik bermotivasi dan menerapkan nilai-nilai Islam</t>
  </si>
  <si>
    <t>JUMLAH MARKAH KESELURUHAN</t>
  </si>
  <si>
    <t>Markah Keseluruhan</t>
  </si>
  <si>
    <t>Indeks Prestasi Pensyarah (Maksimum = 60)</t>
  </si>
  <si>
    <r>
      <rPr>
        <b/>
        <sz val="12"/>
        <color rgb="FF000000"/>
        <rFont val="Arial Narrow"/>
      </rPr>
      <t>Petunjuk Skala / Markah:</t>
    </r>
    <r>
      <rPr>
        <sz val="12"/>
        <color rgb="FF000000"/>
        <rFont val="Arial Narrow"/>
      </rPr>
      <t xml:space="preserve"> 1 = Sangat Tidak Bersetuju. 2 = Tidak Bersetuju. 3 = Kurang Pasti. 4 = Bersetuju. 5 = Sangat Bersetuju.</t>
    </r>
  </si>
  <si>
    <r>
      <rPr>
        <b/>
        <sz val="12"/>
        <color theme="1"/>
        <rFont val="Arial Narrow"/>
      </rPr>
      <t xml:space="preserve">Petunjuk Indeks Prestasi: </t>
    </r>
    <r>
      <rPr>
        <sz val="12"/>
        <color theme="1"/>
        <rFont val="Arial Narrow"/>
      </rPr>
      <t>1 - 12 = Tidak Memenuhi Piawaian yang ditetapkan. 13 - 24 = Sederhana. 25 - 36 = Baik. 37 - 48 = Amat Baik. 49 - 60 = Cemerlang.</t>
    </r>
  </si>
  <si>
    <t>C. Analisis Penilaian Pelaksanaan Pengajaran dan Pembelajaran</t>
  </si>
  <si>
    <t>D. Dapatan Analisis Penilaian Soal Selidik PdP</t>
  </si>
  <si>
    <t>Berdasarkan markah yang diberikan oleh pelajar sebagai responden dalam soal selidik ini, didapati prestasi Pegawai Akademik adalah:</t>
  </si>
  <si>
    <t>Disediakan oleh:</t>
  </si>
  <si>
    <t>Disemak dan disahkan oleh:</t>
  </si>
  <si>
    <t xml:space="preserve">Nama Pegawai Akademik : </t>
  </si>
  <si>
    <t xml:space="preserve">Tarikh : </t>
  </si>
  <si>
    <t xml:space="preserve">Nama Ketua Jabatan / Timbalan Dekan (A &amp; P) / Dekan/Timbalan Naib Canselor Akademik dan Pengataranbangsaaan : </t>
  </si>
  <si>
    <t>JABATAN/ PUSAT: JABATAN PENGAJIAN ISLAM, PUSAT MATRIKULASI</t>
  </si>
  <si>
    <t>MUHAMAD HILMEE BIN IZANEE</t>
  </si>
  <si>
    <t>II</t>
  </si>
  <si>
    <t>2025/2026</t>
  </si>
  <si>
    <t>FASI 1013 - AL-MADKHAL LI AL AKIDAH AL ISLAMIAH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</si>
</sst>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2"/>
      <color theme="1"/>
      <name val="Arial Narrow"/>
    </font>
    <font>
      <b/>
      <sz val="12"/>
      <color theme="1"/>
      <name val="Arial Narrow"/>
    </font>
    <font>
      <sz val="11"/>
      <name val="Calibri"/>
    </font>
    <font>
      <b/>
      <sz val="12"/>
      <color rgb="FF000000"/>
      <name val="Arial Narrow"/>
    </font>
    <font>
      <sz val="12"/>
      <color rgb="FF000000"/>
      <name val="Arial Narrow"/>
    </font>
    <font>
      <sz val="12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theme="1"/>
        <bgColor theme="1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1" fillId="3" borderId="37" xfId="0" applyFont="1" applyFill="1" applyBorder="1"/>
    <xf numFmtId="0" fontId="1" fillId="0" borderId="18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center"/>
    </xf>
    <xf numFmtId="0" fontId="1" fillId="0" borderId="40" xfId="0" applyFont="1" applyBorder="1"/>
    <xf numFmtId="0" fontId="1" fillId="0" borderId="2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3" borderId="43" xfId="0" applyFont="1" applyFill="1" applyBorder="1"/>
    <xf numFmtId="0" fontId="2" fillId="0" borderId="0" xfId="0" applyFont="1"/>
    <xf numFmtId="2" fontId="2" fillId="0" borderId="0" xfId="0" applyNumberFormat="1" applyFont="1"/>
    <xf numFmtId="0" fontId="1" fillId="0" borderId="7" xfId="0" applyFont="1" applyBorder="1"/>
    <xf numFmtId="0" fontId="1" fillId="0" borderId="9" xfId="0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6" xfId="0" applyFont="1" applyBorder="1"/>
    <xf numFmtId="0" fontId="1" fillId="0" borderId="35" xfId="0" applyFont="1" applyBorder="1"/>
    <xf numFmtId="0" fontId="1" fillId="0" borderId="17" xfId="0" applyFont="1" applyBorder="1"/>
    <xf numFmtId="0" fontId="1" fillId="0" borderId="11" xfId="0" applyFont="1" applyBorder="1" applyAlignment="1">
      <alignment horizontal="center" vertical="center"/>
    </xf>
    <xf numFmtId="0" fontId="3" fillId="0" borderId="14" xfId="0" applyFont="1" applyBorder="1"/>
    <xf numFmtId="0" fontId="1" fillId="0" borderId="0" xfId="0" applyFont="1" applyAlignment="1">
      <alignment horizontal="right"/>
    </xf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3" fillId="0" borderId="6" xfId="0" applyFont="1" applyBorder="1"/>
    <xf numFmtId="0" fontId="2" fillId="0" borderId="18" xfId="0" applyFont="1" applyBorder="1" applyAlignment="1">
      <alignment horizontal="center" vertical="center" wrapText="1"/>
    </xf>
    <xf numFmtId="0" fontId="3" fillId="0" borderId="19" xfId="0" applyFont="1" applyBorder="1"/>
    <xf numFmtId="0" fontId="3" fillId="0" borderId="25" xfId="0" applyFont="1" applyBorder="1"/>
    <xf numFmtId="0" fontId="3" fillId="0" borderId="13" xfId="0" applyFont="1" applyBorder="1"/>
    <xf numFmtId="0" fontId="3" fillId="0" borderId="28" xfId="0" applyFont="1" applyBorder="1"/>
    <xf numFmtId="0" fontId="3" fillId="0" borderId="29" xfId="0" applyFont="1" applyBorder="1"/>
    <xf numFmtId="0" fontId="1" fillId="0" borderId="21" xfId="0" applyFont="1" applyBorder="1" applyAlignment="1">
      <alignment horizontal="left" vertical="center" wrapText="1"/>
    </xf>
    <xf numFmtId="0" fontId="3" fillId="0" borderId="22" xfId="0" applyFont="1" applyBorder="1"/>
    <xf numFmtId="0" fontId="3" fillId="0" borderId="23" xfId="0" applyFont="1" applyBorder="1"/>
    <xf numFmtId="0" fontId="1" fillId="0" borderId="5" xfId="0" applyFont="1" applyBorder="1" applyAlignment="1">
      <alignment horizontal="left" vertical="center" wrapText="1"/>
    </xf>
    <xf numFmtId="0" fontId="3" fillId="0" borderId="10" xfId="0" applyFont="1" applyBorder="1"/>
    <xf numFmtId="0" fontId="1" fillId="0" borderId="31" xfId="0" applyFont="1" applyBorder="1" applyAlignment="1">
      <alignment horizontal="left" vertical="center" wrapText="1"/>
    </xf>
    <xf numFmtId="0" fontId="3" fillId="0" borderId="32" xfId="0" applyFont="1" applyBorder="1"/>
    <xf numFmtId="0" fontId="3" fillId="0" borderId="33" xfId="0" applyFont="1" applyBorder="1"/>
    <xf numFmtId="0" fontId="3" fillId="0" borderId="15" xfId="0" applyFont="1" applyBorder="1"/>
    <xf numFmtId="0" fontId="2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12" xfId="0" applyFont="1" applyBorder="1"/>
    <xf numFmtId="0" fontId="3" fillId="0" borderId="9" xfId="0" applyFont="1" applyBorder="1"/>
    <xf numFmtId="0" fontId="2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6" xfId="0" applyFont="1" applyBorder="1"/>
    <xf numFmtId="0" fontId="3" fillId="0" borderId="17" xfId="0" applyFont="1" applyBorder="1"/>
    <xf numFmtId="0" fontId="2" fillId="0" borderId="1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3" fillId="0" borderId="39" xfId="0" applyFont="1" applyBorder="1"/>
    <xf numFmtId="0" fontId="3" fillId="0" borderId="40" xfId="0" applyFont="1" applyBorder="1"/>
    <xf numFmtId="0" fontId="3" fillId="0" borderId="42" xfId="0" applyFont="1" applyBorder="1"/>
    <xf numFmtId="0" fontId="2" fillId="0" borderId="25" xfId="0" applyFont="1" applyBorder="1" applyAlignment="1">
      <alignment horizontal="center" vertical="center" wrapText="1"/>
    </xf>
    <xf numFmtId="0" fontId="3" fillId="0" borderId="41" xfId="0" applyFont="1" applyBorder="1"/>
    <xf numFmtId="0" fontId="1" fillId="0" borderId="16" xfId="0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0" fontId="3" fillId="0" borderId="27" xfId="0" applyFont="1" applyBorder="1"/>
    <xf numFmtId="0" fontId="3" fillId="0" borderId="34" xfId="0" applyFont="1" applyBorder="1"/>
    <xf numFmtId="0" fontId="1" fillId="0" borderId="5" xfId="0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3" fillId="0" borderId="3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+mn-lt"/>
              </a:defRPr>
            </a:pPr>
            <a:r>
              <a:rPr lang="en-US" sz="1200" b="1" i="0">
                <a:solidFill>
                  <a:srgbClr val="000000"/>
                </a:solidFill>
                <a:latin typeface="+mn-lt"/>
              </a:rPr>
              <a:t>Markah Purata Penilaian PdP yang dilaksanakan oleh Tenaga Pengajar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'Edited Sept 17 '!$C$24:$C$35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cat>
          <c:val>
            <c:numRef>
              <c:f>'Edited Sept 17 '!$AT$24:$AT$35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E-4710-B8EE-551FAEAD2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476188320"/>
        <c:axId val="-1476188864"/>
      </c:barChart>
      <c:catAx>
        <c:axId val="-147618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1476188864"/>
        <c:crosses val="autoZero"/>
        <c:auto val="1"/>
        <c:lblAlgn val="ctr"/>
        <c:lblOffset val="100"/>
        <c:noMultiLvlLbl val="1"/>
      </c:catAx>
      <c:valAx>
        <c:axId val="-1476188864"/>
        <c:scaling>
          <c:orientation val="minMax"/>
        </c:scaling>
        <c:delete val="0"/>
        <c:axPos val="l"/>
        <c:numFmt formatCode="0.00" sourceLinked="1"/>
        <c:majorTickMark val="cross"/>
        <c:minorTickMark val="cross"/>
        <c:tickLblPos val="nextTo"/>
        <c:spPr>
          <a:ln>
            <a:noFill/>
          </a:ln>
        </c:spPr>
        <c:crossAx val="-14761883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19631025" cy="3048000"/>
    <xdr:graphicFrame macro="">
      <xdr:nvGraphicFramePr>
        <xdr:cNvPr id="53823241" name="Chart 1" descr="Chart 0">
          <a:extLst>
            <a:ext uri="{FF2B5EF4-FFF2-40B4-BE49-F238E27FC236}">
              <a16:creationId xmlns:a16="http://schemas.microsoft.com/office/drawing/2014/main" id="{00000000-0008-0000-0000-000009473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00"/>
  <sheetViews>
    <sheetView tabSelected="1" view="pageBreakPreview" zoomScale="60" zoomScaleNormal="70" workbookViewId="0">
      <selection activeCell="AL31" sqref="AL31"/>
    </sheetView>
  </sheetViews>
  <sheetFormatPr defaultColWidth="14.453125" defaultRowHeight="15" customHeight="1" x14ac:dyDescent="0.35"/>
  <cols>
    <col min="1" max="1" width="9.1796875" customWidth="1"/>
    <col min="2" max="2" width="11" customWidth="1"/>
    <col min="3" max="3" width="4.81640625" customWidth="1"/>
    <col min="4" max="8" width="9.7265625" customWidth="1"/>
    <col min="9" max="43" width="4.7265625" customWidth="1"/>
    <col min="44" max="44" width="9.54296875" customWidth="1"/>
    <col min="45" max="45" width="10" customWidth="1"/>
    <col min="46" max="47" width="13.26953125" customWidth="1"/>
    <col min="48" max="48" width="9.7265625" customWidth="1"/>
    <col min="49" max="49" width="8" customWidth="1"/>
  </cols>
  <sheetData>
    <row r="1" spans="1:49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43" t="s">
        <v>0</v>
      </c>
      <c r="AT1" s="44"/>
      <c r="AU1" s="44"/>
      <c r="AV1" s="44"/>
      <c r="AW1" s="1"/>
    </row>
    <row r="2" spans="1:49" ht="15.75" customHeight="1" x14ac:dyDescent="0.35">
      <c r="A2" s="45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1"/>
    </row>
    <row r="3" spans="1:49" ht="16.5" customHeight="1" x14ac:dyDescent="0.35">
      <c r="A3" s="46" t="s">
        <v>51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8"/>
      <c r="AW3" s="1"/>
    </row>
    <row r="4" spans="1:49" ht="8.25" customHeight="1" x14ac:dyDescent="0.35">
      <c r="A4" s="1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15.75" customHeight="1" x14ac:dyDescent="0.35">
      <c r="A5" s="4" t="s">
        <v>2</v>
      </c>
      <c r="B5" s="1"/>
      <c r="C5" s="3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7.5" customHeight="1" x14ac:dyDescent="0.35">
      <c r="A6" s="4"/>
      <c r="B6" s="1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15.75" customHeight="1" x14ac:dyDescent="0.35">
      <c r="A7" s="49" t="s">
        <v>3</v>
      </c>
      <c r="B7" s="44"/>
      <c r="C7" s="44"/>
      <c r="D7" s="3"/>
      <c r="E7" s="3" t="s">
        <v>4</v>
      </c>
      <c r="F7" s="50" t="s">
        <v>52</v>
      </c>
      <c r="G7" s="50"/>
      <c r="H7" s="50"/>
      <c r="I7" s="50"/>
      <c r="J7" s="50"/>
      <c r="K7" s="50"/>
      <c r="L7" s="50"/>
      <c r="M7" s="50"/>
      <c r="N7" s="50"/>
      <c r="O7" s="50"/>
      <c r="P7" s="50"/>
      <c r="Q7" s="5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t="7.5" customHeight="1" x14ac:dyDescent="0.35">
      <c r="A8" s="5"/>
      <c r="B8" s="5"/>
      <c r="C8" s="5"/>
      <c r="D8" s="3"/>
      <c r="E8" s="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t="15.75" customHeight="1" x14ac:dyDescent="0.35">
      <c r="A9" s="49" t="s">
        <v>5</v>
      </c>
      <c r="B9" s="44"/>
      <c r="C9" s="44"/>
      <c r="D9" s="3"/>
      <c r="E9" s="3" t="s">
        <v>4</v>
      </c>
      <c r="F9" s="50" t="s">
        <v>55</v>
      </c>
      <c r="G9" s="50"/>
      <c r="H9" s="50"/>
      <c r="I9" s="50"/>
      <c r="J9" s="50"/>
      <c r="K9" s="50"/>
      <c r="L9" s="50"/>
      <c r="M9" s="50"/>
      <c r="N9" s="50"/>
      <c r="O9" s="50"/>
      <c r="P9" s="50"/>
      <c r="Q9" s="5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t="7.5" customHeight="1" x14ac:dyDescent="0.35">
      <c r="A10" s="5"/>
      <c r="B10" s="5"/>
      <c r="C10" s="5"/>
      <c r="D10" s="3"/>
      <c r="E10" s="3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1"/>
      <c r="AW10" s="1"/>
    </row>
    <row r="11" spans="1:49" ht="15.75" customHeight="1" x14ac:dyDescent="0.35">
      <c r="A11" s="49" t="s">
        <v>6</v>
      </c>
      <c r="B11" s="44"/>
      <c r="C11" s="44"/>
      <c r="D11" s="3"/>
      <c r="E11" s="3" t="s">
        <v>4</v>
      </c>
      <c r="F11" s="51" t="s">
        <v>53</v>
      </c>
      <c r="G11" s="48"/>
      <c r="H11" s="5"/>
      <c r="I11" s="5"/>
      <c r="J11" s="5"/>
      <c r="K11" s="5"/>
      <c r="L11" s="5"/>
      <c r="M11" s="5"/>
      <c r="N11" s="5"/>
      <c r="O11" s="5"/>
      <c r="P11" s="5"/>
      <c r="Q11" s="5"/>
      <c r="R11" s="5" t="s">
        <v>7</v>
      </c>
      <c r="S11" s="5"/>
      <c r="T11" s="5"/>
      <c r="U11" s="5"/>
      <c r="V11" s="5"/>
      <c r="W11" s="5"/>
      <c r="X11" s="5"/>
      <c r="Y11" s="5"/>
      <c r="Z11" s="5" t="s">
        <v>4</v>
      </c>
      <c r="AA11" s="53" t="s">
        <v>54</v>
      </c>
      <c r="AB11" s="47"/>
      <c r="AC11" s="47"/>
      <c r="AD11" s="48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t="7.5" customHeight="1" x14ac:dyDescent="0.35">
      <c r="A12" s="4"/>
      <c r="B12" s="1"/>
      <c r="C12" s="3"/>
      <c r="D12" s="3"/>
      <c r="E12" s="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1"/>
      <c r="AW12" s="1"/>
    </row>
    <row r="13" spans="1:49" ht="15.75" customHeight="1" x14ac:dyDescent="0.35">
      <c r="A13" s="49" t="s">
        <v>8</v>
      </c>
      <c r="B13" s="44"/>
      <c r="C13" s="44"/>
      <c r="D13" s="3"/>
      <c r="E13" s="3" t="s">
        <v>4</v>
      </c>
      <c r="F13" s="51">
        <v>3</v>
      </c>
      <c r="G13" s="48"/>
      <c r="H13" s="5"/>
      <c r="I13" s="5"/>
      <c r="J13" s="5"/>
      <c r="K13" s="5"/>
      <c r="L13" s="5"/>
      <c r="M13" s="5"/>
      <c r="N13" s="5"/>
      <c r="O13" s="5"/>
      <c r="P13" s="5"/>
      <c r="Q13" s="5"/>
      <c r="R13" s="5" t="s">
        <v>9</v>
      </c>
      <c r="S13" s="5"/>
      <c r="T13" s="5"/>
      <c r="U13" s="5"/>
      <c r="V13" s="5"/>
      <c r="W13" s="5"/>
      <c r="X13" s="5"/>
      <c r="Y13" s="5"/>
      <c r="Z13" s="5" t="s">
        <v>4</v>
      </c>
      <c r="AA13" s="51">
        <v>3</v>
      </c>
      <c r="AB13" s="47"/>
      <c r="AC13" s="47"/>
      <c r="AD13" s="48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t="7.5" customHeight="1" x14ac:dyDescent="0.35">
      <c r="A14" s="5"/>
      <c r="B14" s="5"/>
      <c r="C14" s="5"/>
      <c r="D14" s="3"/>
      <c r="E14" s="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1"/>
      <c r="AW14" s="1"/>
    </row>
    <row r="15" spans="1:49" ht="15.75" customHeight="1" x14ac:dyDescent="0.35">
      <c r="A15" s="1" t="s">
        <v>10</v>
      </c>
      <c r="B15" s="1"/>
      <c r="C15" s="1"/>
      <c r="D15" s="3"/>
      <c r="E15" s="3" t="s">
        <v>4</v>
      </c>
      <c r="F15" s="5" t="s">
        <v>11</v>
      </c>
      <c r="G15" s="54">
        <v>45953</v>
      </c>
      <c r="H15" s="47"/>
      <c r="I15" s="48"/>
      <c r="J15" s="5" t="s">
        <v>12</v>
      </c>
      <c r="K15" s="5"/>
      <c r="L15" s="54">
        <v>46030</v>
      </c>
      <c r="M15" s="47"/>
      <c r="N15" s="47"/>
      <c r="O15" s="47"/>
      <c r="P15" s="48"/>
      <c r="Q15" s="5"/>
      <c r="R15" s="5"/>
      <c r="S15" s="5"/>
      <c r="T15" s="5"/>
      <c r="U15" s="5"/>
      <c r="V15" s="5"/>
      <c r="W15" s="5"/>
      <c r="X15" s="5"/>
      <c r="Y15" s="5"/>
      <c r="Z15" s="5"/>
      <c r="AA15" s="52"/>
      <c r="AB15" s="44"/>
      <c r="AC15" s="44"/>
      <c r="AD15" s="44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t="7.5" customHeight="1" x14ac:dyDescent="0.35">
      <c r="A16" s="5"/>
      <c r="B16" s="5"/>
      <c r="C16" s="5"/>
      <c r="D16" s="3"/>
      <c r="E16" s="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1"/>
      <c r="AW16" s="1"/>
    </row>
    <row r="17" spans="1:49" ht="15.75" customHeight="1" x14ac:dyDescent="0.35">
      <c r="A17" s="1" t="s">
        <v>13</v>
      </c>
      <c r="B17" s="1"/>
      <c r="C17" s="1"/>
      <c r="D17" s="3"/>
      <c r="E17" s="3" t="s">
        <v>4</v>
      </c>
      <c r="F17" s="6">
        <v>25</v>
      </c>
      <c r="G17" s="5" t="s">
        <v>14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 t="s">
        <v>15</v>
      </c>
      <c r="S17" s="5"/>
      <c r="T17" s="5"/>
      <c r="U17" s="5"/>
      <c r="V17" s="5"/>
      <c r="W17" s="5"/>
      <c r="X17" s="5"/>
      <c r="Y17" s="5"/>
      <c r="Z17" s="5" t="s">
        <v>4</v>
      </c>
      <c r="AA17" s="55">
        <v>25</v>
      </c>
      <c r="AB17" s="56"/>
      <c r="AC17" s="5" t="s">
        <v>14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1"/>
      <c r="AW17" s="1"/>
    </row>
    <row r="18" spans="1:49" ht="15.75" customHeight="1" x14ac:dyDescent="0.35">
      <c r="A18" s="5"/>
      <c r="B18" s="1"/>
      <c r="C18" s="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"/>
      <c r="P18" s="5"/>
      <c r="Q18" s="1"/>
      <c r="R18" s="5"/>
      <c r="S18" s="3"/>
      <c r="T18" s="3"/>
      <c r="U18" s="3"/>
      <c r="V18" s="3"/>
      <c r="W18" s="3"/>
      <c r="X18" s="3"/>
      <c r="Y18" s="3"/>
      <c r="Z18" s="3"/>
      <c r="AA18" s="3"/>
      <c r="AB18" s="3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t="15.75" customHeight="1" x14ac:dyDescent="0.35">
      <c r="A19" s="7" t="s">
        <v>16</v>
      </c>
      <c r="B19" s="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t="9.75" customHeight="1" x14ac:dyDescent="0.35">
      <c r="A20" s="9"/>
      <c r="B20" s="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t="16.5" customHeight="1" x14ac:dyDescent="0.35">
      <c r="A21" s="72" t="s">
        <v>17</v>
      </c>
      <c r="B21" s="73"/>
      <c r="C21" s="72" t="s">
        <v>18</v>
      </c>
      <c r="D21" s="75"/>
      <c r="E21" s="75"/>
      <c r="F21" s="75"/>
      <c r="G21" s="75"/>
      <c r="H21" s="75"/>
      <c r="I21" s="76" t="s">
        <v>19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56"/>
      <c r="AR21" s="78" t="s">
        <v>20</v>
      </c>
      <c r="AS21" s="73"/>
      <c r="AT21" s="78" t="s">
        <v>21</v>
      </c>
      <c r="AU21" s="73"/>
      <c r="AV21" s="81" t="s">
        <v>22</v>
      </c>
      <c r="AW21" s="1"/>
    </row>
    <row r="22" spans="1:49" ht="15.75" customHeight="1" x14ac:dyDescent="0.35">
      <c r="A22" s="74"/>
      <c r="B22" s="60"/>
      <c r="C22" s="74"/>
      <c r="D22" s="44"/>
      <c r="E22" s="44"/>
      <c r="F22" s="44"/>
      <c r="G22" s="44"/>
      <c r="H22" s="44"/>
      <c r="I22" s="41">
        <v>1</v>
      </c>
      <c r="J22" s="41">
        <v>2</v>
      </c>
      <c r="K22" s="41">
        <v>3</v>
      </c>
      <c r="L22" s="41">
        <v>4</v>
      </c>
      <c r="M22" s="41">
        <v>5</v>
      </c>
      <c r="N22" s="77">
        <v>6</v>
      </c>
      <c r="O22" s="77">
        <v>7</v>
      </c>
      <c r="P22" s="41">
        <v>8</v>
      </c>
      <c r="Q22" s="41">
        <v>9</v>
      </c>
      <c r="R22" s="41">
        <v>10</v>
      </c>
      <c r="S22" s="41">
        <v>11</v>
      </c>
      <c r="T22" s="41">
        <v>12</v>
      </c>
      <c r="U22" s="41">
        <v>13</v>
      </c>
      <c r="V22" s="41">
        <v>14</v>
      </c>
      <c r="W22" s="41">
        <v>15</v>
      </c>
      <c r="X22" s="41">
        <v>16</v>
      </c>
      <c r="Y22" s="41">
        <v>17</v>
      </c>
      <c r="Z22" s="41">
        <v>18</v>
      </c>
      <c r="AA22" s="41">
        <v>19</v>
      </c>
      <c r="AB22" s="41">
        <v>20</v>
      </c>
      <c r="AC22" s="41">
        <v>21</v>
      </c>
      <c r="AD22" s="41">
        <v>22</v>
      </c>
      <c r="AE22" s="41">
        <v>23</v>
      </c>
      <c r="AF22" s="41">
        <v>24</v>
      </c>
      <c r="AG22" s="41">
        <v>25</v>
      </c>
      <c r="AH22" s="41">
        <v>26</v>
      </c>
      <c r="AI22" s="41">
        <v>27</v>
      </c>
      <c r="AJ22" s="41">
        <v>28</v>
      </c>
      <c r="AK22" s="41">
        <v>29</v>
      </c>
      <c r="AL22" s="41">
        <v>30</v>
      </c>
      <c r="AM22" s="41">
        <v>31</v>
      </c>
      <c r="AN22" s="41">
        <v>32</v>
      </c>
      <c r="AO22" s="41">
        <v>33</v>
      </c>
      <c r="AP22" s="41">
        <v>34</v>
      </c>
      <c r="AQ22" s="41">
        <v>35</v>
      </c>
      <c r="AR22" s="74"/>
      <c r="AS22" s="60"/>
      <c r="AT22" s="74"/>
      <c r="AU22" s="60"/>
      <c r="AV22" s="42"/>
      <c r="AW22" s="1"/>
    </row>
    <row r="23" spans="1:49" ht="24.75" customHeight="1" thickBot="1" x14ac:dyDescent="0.4">
      <c r="A23" s="74"/>
      <c r="B23" s="60"/>
      <c r="C23" s="74"/>
      <c r="D23" s="44"/>
      <c r="E23" s="44"/>
      <c r="F23" s="44"/>
      <c r="G23" s="44"/>
      <c r="H23" s="44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79"/>
      <c r="AS23" s="80"/>
      <c r="AT23" s="79"/>
      <c r="AU23" s="80"/>
      <c r="AV23" s="71"/>
      <c r="AW23" s="1"/>
    </row>
    <row r="24" spans="1:49" ht="34.5" customHeight="1" x14ac:dyDescent="0.35">
      <c r="A24" s="57" t="s">
        <v>23</v>
      </c>
      <c r="B24" s="58"/>
      <c r="C24" s="11">
        <v>1</v>
      </c>
      <c r="D24" s="63" t="s">
        <v>24</v>
      </c>
      <c r="E24" s="64"/>
      <c r="F24" s="64"/>
      <c r="G24" s="64"/>
      <c r="H24" s="65"/>
      <c r="AR24" s="98">
        <f t="shared" ref="AR24:AR36" si="0">SUM(I24:AQ24)</f>
        <v>0</v>
      </c>
      <c r="AS24" s="65"/>
      <c r="AT24" s="99">
        <f>AR24/AA17</f>
        <v>0</v>
      </c>
      <c r="AU24" s="65"/>
      <c r="AV24" s="97">
        <f>SUM(AT24:AU30)/7</f>
        <v>0</v>
      </c>
      <c r="AW24" s="1"/>
    </row>
    <row r="25" spans="1:49" ht="33" customHeight="1" x14ac:dyDescent="0.35">
      <c r="A25" s="59"/>
      <c r="B25" s="60"/>
      <c r="C25" s="12">
        <v>2</v>
      </c>
      <c r="D25" s="66" t="s">
        <v>25</v>
      </c>
      <c r="E25" s="67"/>
      <c r="F25" s="67"/>
      <c r="G25" s="67"/>
      <c r="H25" s="56"/>
      <c r="AR25" s="93">
        <f t="shared" si="0"/>
        <v>0</v>
      </c>
      <c r="AS25" s="56"/>
      <c r="AT25" s="94">
        <f>AR25/AA17</f>
        <v>0</v>
      </c>
      <c r="AU25" s="56"/>
      <c r="AV25" s="91"/>
      <c r="AW25" s="1"/>
    </row>
    <row r="26" spans="1:49" ht="35.25" customHeight="1" x14ac:dyDescent="0.35">
      <c r="A26" s="59"/>
      <c r="B26" s="60"/>
      <c r="C26" s="12">
        <v>3</v>
      </c>
      <c r="D26" s="66" t="s">
        <v>26</v>
      </c>
      <c r="E26" s="67"/>
      <c r="F26" s="67"/>
      <c r="G26" s="67"/>
      <c r="H26" s="56"/>
      <c r="AR26" s="93">
        <f t="shared" si="0"/>
        <v>0</v>
      </c>
      <c r="AS26" s="56"/>
      <c r="AT26" s="94">
        <f>AR26/AA17</f>
        <v>0</v>
      </c>
      <c r="AU26" s="56"/>
      <c r="AV26" s="91"/>
      <c r="AW26" s="1"/>
    </row>
    <row r="27" spans="1:49" ht="31.5" customHeight="1" x14ac:dyDescent="0.35">
      <c r="A27" s="59"/>
      <c r="B27" s="60"/>
      <c r="C27" s="12">
        <v>4</v>
      </c>
      <c r="D27" s="66" t="s">
        <v>27</v>
      </c>
      <c r="E27" s="67"/>
      <c r="F27" s="67"/>
      <c r="G27" s="67"/>
      <c r="H27" s="56"/>
      <c r="AR27" s="93">
        <f t="shared" si="0"/>
        <v>0</v>
      </c>
      <c r="AS27" s="56"/>
      <c r="AT27" s="94">
        <f>AR27/AA17</f>
        <v>0</v>
      </c>
      <c r="AU27" s="56"/>
      <c r="AV27" s="91"/>
      <c r="AW27" s="1"/>
    </row>
    <row r="28" spans="1:49" ht="33.75" customHeight="1" x14ac:dyDescent="0.35">
      <c r="A28" s="59"/>
      <c r="B28" s="60"/>
      <c r="C28" s="12">
        <v>5</v>
      </c>
      <c r="D28" s="66" t="s">
        <v>28</v>
      </c>
      <c r="E28" s="67"/>
      <c r="F28" s="67"/>
      <c r="G28" s="67"/>
      <c r="H28" s="56"/>
      <c r="AR28" s="93">
        <f t="shared" si="0"/>
        <v>0</v>
      </c>
      <c r="AS28" s="56"/>
      <c r="AT28" s="94">
        <f>AR28/AA17</f>
        <v>0</v>
      </c>
      <c r="AU28" s="56"/>
      <c r="AV28" s="91"/>
      <c r="AW28" s="1"/>
    </row>
    <row r="29" spans="1:49" ht="32.25" customHeight="1" x14ac:dyDescent="0.35">
      <c r="A29" s="59"/>
      <c r="B29" s="60"/>
      <c r="C29" s="12">
        <v>6</v>
      </c>
      <c r="D29" s="66" t="s">
        <v>29</v>
      </c>
      <c r="E29" s="67"/>
      <c r="F29" s="67"/>
      <c r="G29" s="67"/>
      <c r="H29" s="56"/>
      <c r="AR29" s="93">
        <f t="shared" si="0"/>
        <v>0</v>
      </c>
      <c r="AS29" s="56"/>
      <c r="AT29" s="94">
        <f>AR29/AA17</f>
        <v>0</v>
      </c>
      <c r="AU29" s="56"/>
      <c r="AV29" s="91"/>
      <c r="AW29" s="1"/>
    </row>
    <row r="30" spans="1:49" ht="32.25" customHeight="1" thickBot="1" x14ac:dyDescent="0.4">
      <c r="A30" s="61"/>
      <c r="B30" s="62"/>
      <c r="C30" s="13">
        <v>7</v>
      </c>
      <c r="D30" s="68" t="s">
        <v>30</v>
      </c>
      <c r="E30" s="69"/>
      <c r="F30" s="69"/>
      <c r="G30" s="69"/>
      <c r="H30" s="70"/>
      <c r="AR30" s="95">
        <f t="shared" si="0"/>
        <v>0</v>
      </c>
      <c r="AS30" s="70"/>
      <c r="AT30" s="96">
        <f>AR30/AA17</f>
        <v>0</v>
      </c>
      <c r="AU30" s="70"/>
      <c r="AV30" s="92"/>
      <c r="AW30" s="1"/>
    </row>
    <row r="31" spans="1:49" ht="49.5" customHeight="1" x14ac:dyDescent="0.35">
      <c r="A31" s="86" t="s">
        <v>31</v>
      </c>
      <c r="B31" s="60"/>
      <c r="C31" s="14">
        <v>1</v>
      </c>
      <c r="D31" s="102" t="s">
        <v>32</v>
      </c>
      <c r="E31" s="103"/>
      <c r="F31" s="103"/>
      <c r="G31" s="103"/>
      <c r="H31" s="80"/>
      <c r="AR31" s="88">
        <f t="shared" si="0"/>
        <v>0</v>
      </c>
      <c r="AS31" s="80"/>
      <c r="AT31" s="89">
        <f>AR31/AA17</f>
        <v>0</v>
      </c>
      <c r="AU31" s="80"/>
      <c r="AV31" s="90">
        <f>SUM(AT31:AT32)/2</f>
        <v>0</v>
      </c>
      <c r="AW31" s="1"/>
    </row>
    <row r="32" spans="1:49" ht="33.75" customHeight="1" thickBot="1" x14ac:dyDescent="0.4">
      <c r="A32" s="61"/>
      <c r="B32" s="62"/>
      <c r="C32" s="13">
        <v>2</v>
      </c>
      <c r="D32" s="68" t="s">
        <v>33</v>
      </c>
      <c r="E32" s="69"/>
      <c r="F32" s="69"/>
      <c r="G32" s="69"/>
      <c r="H32" s="70"/>
      <c r="AR32" s="95">
        <f t="shared" si="0"/>
        <v>0</v>
      </c>
      <c r="AS32" s="70"/>
      <c r="AT32" s="96">
        <f>AR32/AA17</f>
        <v>0</v>
      </c>
      <c r="AU32" s="70"/>
      <c r="AV32" s="92"/>
      <c r="AW32" s="1"/>
    </row>
    <row r="33" spans="1:49" ht="33.75" customHeight="1" x14ac:dyDescent="0.35">
      <c r="A33" s="86" t="s">
        <v>34</v>
      </c>
      <c r="B33" s="60"/>
      <c r="C33" s="14">
        <v>1</v>
      </c>
      <c r="D33" s="102" t="s">
        <v>35</v>
      </c>
      <c r="E33" s="103"/>
      <c r="F33" s="103"/>
      <c r="G33" s="103"/>
      <c r="H33" s="80"/>
      <c r="AR33" s="88">
        <f t="shared" si="0"/>
        <v>0</v>
      </c>
      <c r="AS33" s="80"/>
      <c r="AT33" s="89">
        <f>AR33/AA17</f>
        <v>0</v>
      </c>
      <c r="AU33" s="80"/>
      <c r="AV33" s="90">
        <f>SUM(AT33:AU35)/3</f>
        <v>0</v>
      </c>
      <c r="AW33" s="1"/>
    </row>
    <row r="34" spans="1:49" ht="33.75" customHeight="1" x14ac:dyDescent="0.35">
      <c r="A34" s="59"/>
      <c r="B34" s="60"/>
      <c r="C34" s="12">
        <v>2</v>
      </c>
      <c r="D34" s="66" t="s">
        <v>36</v>
      </c>
      <c r="E34" s="67"/>
      <c r="F34" s="67"/>
      <c r="G34" s="67"/>
      <c r="H34" s="56"/>
      <c r="AR34" s="93">
        <f t="shared" si="0"/>
        <v>0</v>
      </c>
      <c r="AS34" s="56"/>
      <c r="AT34" s="94">
        <f>AR34/AA17</f>
        <v>0</v>
      </c>
      <c r="AU34" s="56"/>
      <c r="AV34" s="91"/>
      <c r="AW34" s="1"/>
    </row>
    <row r="35" spans="1:49" ht="35.25" customHeight="1" thickBot="1" x14ac:dyDescent="0.4">
      <c r="A35" s="61"/>
      <c r="B35" s="62"/>
      <c r="C35" s="13">
        <v>3</v>
      </c>
      <c r="D35" s="68" t="s">
        <v>37</v>
      </c>
      <c r="E35" s="69"/>
      <c r="F35" s="69"/>
      <c r="G35" s="69"/>
      <c r="H35" s="70"/>
      <c r="AR35" s="95">
        <f t="shared" si="0"/>
        <v>0</v>
      </c>
      <c r="AS35" s="70"/>
      <c r="AT35" s="96">
        <f>AR35/AA17</f>
        <v>0</v>
      </c>
      <c r="AU35" s="70"/>
      <c r="AV35" s="92"/>
      <c r="AW35" s="1"/>
    </row>
    <row r="36" spans="1:49" ht="27" customHeight="1" thickBot="1" x14ac:dyDescent="0.4">
      <c r="A36" s="86" t="s">
        <v>38</v>
      </c>
      <c r="B36" s="44"/>
      <c r="C36" s="44"/>
      <c r="D36" s="44"/>
      <c r="E36" s="44"/>
      <c r="F36" s="44"/>
      <c r="G36" s="44"/>
      <c r="H36" s="60"/>
      <c r="I36" s="15">
        <f t="shared" ref="I36:AQ36" si="1">SUM(I24:I35)</f>
        <v>0</v>
      </c>
      <c r="J36" s="15">
        <f t="shared" si="1"/>
        <v>0</v>
      </c>
      <c r="K36" s="15">
        <f t="shared" si="1"/>
        <v>0</v>
      </c>
      <c r="L36" s="15">
        <f t="shared" si="1"/>
        <v>0</v>
      </c>
      <c r="M36" s="15">
        <f t="shared" si="1"/>
        <v>0</v>
      </c>
      <c r="N36" s="15">
        <f t="shared" si="1"/>
        <v>0</v>
      </c>
      <c r="O36" s="15">
        <f t="shared" si="1"/>
        <v>0</v>
      </c>
      <c r="P36" s="15">
        <f t="shared" si="1"/>
        <v>0</v>
      </c>
      <c r="Q36" s="15">
        <f t="shared" si="1"/>
        <v>0</v>
      </c>
      <c r="R36" s="15">
        <f t="shared" si="1"/>
        <v>0</v>
      </c>
      <c r="S36" s="15">
        <f t="shared" si="1"/>
        <v>0</v>
      </c>
      <c r="T36" s="15">
        <f t="shared" si="1"/>
        <v>0</v>
      </c>
      <c r="U36" s="15">
        <f t="shared" si="1"/>
        <v>0</v>
      </c>
      <c r="V36" s="15">
        <f t="shared" si="1"/>
        <v>0</v>
      </c>
      <c r="W36" s="15">
        <f t="shared" si="1"/>
        <v>0</v>
      </c>
      <c r="X36" s="16">
        <f t="shared" si="1"/>
        <v>0</v>
      </c>
      <c r="Y36" s="17">
        <f t="shared" si="1"/>
        <v>0</v>
      </c>
      <c r="Z36" s="18">
        <f t="shared" si="1"/>
        <v>0</v>
      </c>
      <c r="AA36" s="15">
        <f t="shared" si="1"/>
        <v>0</v>
      </c>
      <c r="AB36" s="15">
        <f t="shared" si="1"/>
        <v>0</v>
      </c>
      <c r="AC36" s="15">
        <f t="shared" si="1"/>
        <v>0</v>
      </c>
      <c r="AD36" s="15">
        <f t="shared" si="1"/>
        <v>0</v>
      </c>
      <c r="AE36" s="15">
        <f t="shared" si="1"/>
        <v>0</v>
      </c>
      <c r="AF36" s="15">
        <f t="shared" si="1"/>
        <v>0</v>
      </c>
      <c r="AG36" s="15">
        <f t="shared" si="1"/>
        <v>0</v>
      </c>
      <c r="AH36" s="15">
        <f t="shared" si="1"/>
        <v>0</v>
      </c>
      <c r="AI36" s="15">
        <f t="shared" si="1"/>
        <v>0</v>
      </c>
      <c r="AJ36" s="15">
        <f t="shared" si="1"/>
        <v>0</v>
      </c>
      <c r="AK36" s="15">
        <f t="shared" si="1"/>
        <v>0</v>
      </c>
      <c r="AL36" s="15">
        <f t="shared" si="1"/>
        <v>0</v>
      </c>
      <c r="AM36" s="15">
        <f t="shared" si="1"/>
        <v>0</v>
      </c>
      <c r="AN36" s="15">
        <f t="shared" si="1"/>
        <v>0</v>
      </c>
      <c r="AO36" s="15">
        <f t="shared" si="1"/>
        <v>0</v>
      </c>
      <c r="AP36" s="15">
        <f t="shared" si="1"/>
        <v>0</v>
      </c>
      <c r="AQ36" s="16">
        <f t="shared" si="1"/>
        <v>0</v>
      </c>
      <c r="AR36" s="82">
        <f t="shared" si="0"/>
        <v>0</v>
      </c>
      <c r="AS36" s="62"/>
      <c r="AT36" s="19">
        <f>AR36/5</f>
        <v>0</v>
      </c>
      <c r="AU36" s="20">
        <f>SUM(AR24:AS35)/AA17</f>
        <v>0</v>
      </c>
      <c r="AV36" s="21"/>
      <c r="AW36" s="1"/>
    </row>
    <row r="37" spans="1:49" ht="7.5" customHeight="1" x14ac:dyDescent="0.35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4"/>
      <c r="AR37" s="57" t="s">
        <v>39</v>
      </c>
      <c r="AS37" s="83"/>
      <c r="AT37" s="86" t="s">
        <v>40</v>
      </c>
      <c r="AU37" s="44"/>
      <c r="AV37" s="21"/>
      <c r="AW37" s="1"/>
    </row>
    <row r="38" spans="1:49" ht="15.75" customHeight="1" x14ac:dyDescent="0.35">
      <c r="A38" s="100" t="s">
        <v>41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84"/>
      <c r="AR38" s="59"/>
      <c r="AS38" s="84"/>
      <c r="AT38" s="59"/>
      <c r="AU38" s="44"/>
      <c r="AV38" s="21"/>
      <c r="AW38" s="1"/>
    </row>
    <row r="39" spans="1:49" ht="7.5" customHeight="1" x14ac:dyDescent="0.35">
      <c r="A39" s="25"/>
      <c r="B39" s="1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26"/>
      <c r="AR39" s="59"/>
      <c r="AS39" s="84"/>
      <c r="AT39" s="59"/>
      <c r="AU39" s="44"/>
      <c r="AV39" s="21"/>
      <c r="AW39" s="1"/>
    </row>
    <row r="40" spans="1:49" ht="15.75" customHeight="1" x14ac:dyDescent="0.35">
      <c r="A40" s="101" t="s">
        <v>42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84"/>
      <c r="AR40" s="59"/>
      <c r="AS40" s="84"/>
      <c r="AT40" s="59"/>
      <c r="AU40" s="44"/>
      <c r="AV40" s="21"/>
      <c r="AW40" s="1"/>
    </row>
    <row r="41" spans="1:49" ht="7.5" customHeight="1" x14ac:dyDescent="0.3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9"/>
      <c r="AR41" s="61"/>
      <c r="AS41" s="85"/>
      <c r="AT41" s="61"/>
      <c r="AU41" s="87"/>
      <c r="AV41" s="30"/>
      <c r="AW41" s="1"/>
    </row>
    <row r="42" spans="1:49" ht="15.75" customHeight="1" x14ac:dyDescent="0.35">
      <c r="A42" s="9"/>
      <c r="B42" s="1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t="15.75" customHeight="1" x14ac:dyDescent="0.35">
      <c r="A43" s="31" t="s">
        <v>43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t="15.75" customHeight="1" x14ac:dyDescent="0.35">
      <c r="A61" s="31" t="s">
        <v>44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15.75" customHeight="1" x14ac:dyDescent="0.35">
      <c r="A63" s="52" t="s">
        <v>45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32" t="b">
        <f>IF(AU36&gt;=49,"CEMERLANG",IF(AU36&gt;=37,"AMAT BAIK",IF(AU36&gt;=25,"BAIK",IF(AU36&gt;=13,"SEDERHANA",IF(AU36&gt;=1,"Tidak memenuhi piawaian")))))</f>
        <v>0</v>
      </c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1"/>
      <c r="AW63" s="1"/>
    </row>
    <row r="64" spans="1:49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15.75" customHeight="1" x14ac:dyDescent="0.35">
      <c r="A65" s="33" t="s">
        <v>46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5"/>
      <c r="N65" s="1"/>
      <c r="O65" s="33" t="s">
        <v>47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5"/>
      <c r="AR65" s="1"/>
      <c r="AS65" s="1"/>
      <c r="AT65" s="1"/>
      <c r="AU65" s="1"/>
      <c r="AV65" s="1"/>
      <c r="AW65" s="1"/>
    </row>
    <row r="66" spans="1:49" ht="15.75" customHeight="1" x14ac:dyDescent="0.35">
      <c r="A66" s="3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7"/>
      <c r="N66" s="1"/>
      <c r="O66" s="36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37"/>
      <c r="AR66" s="1"/>
      <c r="AS66" s="1"/>
      <c r="AT66" s="1"/>
      <c r="AU66" s="1"/>
      <c r="AV66" s="1"/>
      <c r="AW66" s="1"/>
    </row>
    <row r="67" spans="1:49" ht="15.75" customHeight="1" x14ac:dyDescent="0.35">
      <c r="A67" s="3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7"/>
      <c r="N67" s="1"/>
      <c r="O67" s="36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37"/>
      <c r="AR67" s="1"/>
      <c r="AS67" s="1"/>
      <c r="AT67" s="1"/>
      <c r="AU67" s="1"/>
      <c r="AV67" s="1"/>
      <c r="AW67" s="1"/>
    </row>
    <row r="68" spans="1:49" ht="15.75" customHeight="1" x14ac:dyDescent="0.35">
      <c r="A68" s="3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7"/>
      <c r="N68" s="1"/>
      <c r="O68" s="36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37"/>
      <c r="AR68" s="1"/>
      <c r="AS68" s="1"/>
      <c r="AT68" s="1"/>
      <c r="AU68" s="1"/>
      <c r="AV68" s="1"/>
      <c r="AW68" s="1"/>
    </row>
    <row r="69" spans="1:49" ht="15.75" customHeight="1" x14ac:dyDescent="0.35">
      <c r="A69" s="36" t="s">
        <v>48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7"/>
      <c r="N69" s="1"/>
      <c r="O69" s="36" t="s">
        <v>50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37"/>
      <c r="AR69" s="1"/>
      <c r="AS69" s="1"/>
      <c r="AT69" s="1"/>
      <c r="AU69" s="1"/>
      <c r="AV69" s="1"/>
      <c r="AW69" s="1"/>
    </row>
    <row r="70" spans="1:49" ht="15.75" customHeight="1" x14ac:dyDescent="0.35">
      <c r="A70" s="36" t="s">
        <v>49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7"/>
      <c r="N70" s="1"/>
      <c r="O70" s="36" t="s">
        <v>49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52"/>
      <c r="AA70" s="44"/>
      <c r="AB70" s="44"/>
      <c r="AC70" s="44"/>
      <c r="AD70" s="44"/>
      <c r="AE70" s="44"/>
      <c r="AF70" s="44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37"/>
      <c r="AR70" s="1"/>
      <c r="AS70" s="1"/>
      <c r="AT70" s="1"/>
      <c r="AU70" s="1"/>
      <c r="AV70" s="1"/>
      <c r="AW70" s="1"/>
    </row>
    <row r="71" spans="1:49" ht="15.75" customHeight="1" x14ac:dyDescent="0.35">
      <c r="A71" s="38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40"/>
      <c r="N71" s="1"/>
      <c r="O71" s="38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40"/>
      <c r="AR71" s="1"/>
      <c r="AS71" s="1"/>
      <c r="AT71" s="1"/>
      <c r="AU71" s="1"/>
      <c r="AV71" s="1"/>
      <c r="AW71" s="1"/>
    </row>
    <row r="72" spans="1:49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43"/>
      <c r="AU73" s="44"/>
      <c r="AV73" s="44"/>
      <c r="AW73" s="1"/>
    </row>
    <row r="74" spans="1:49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:49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:49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:49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:49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:49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:49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:49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:49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:49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:49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:49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:49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:49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:49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:49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:49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:49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:49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:49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:49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:49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:49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:49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:49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:49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:49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:49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:49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:49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:49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:49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:49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:49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:49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:49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:49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:49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:49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:49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:49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:49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:49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:49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:49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:49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:49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:49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:49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:49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:49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:49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:49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:49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:49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:49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:49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:49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:49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:49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:49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:49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:49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:49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:49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:49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:49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:49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:49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:49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:49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:49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:49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:49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:49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:49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:49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:49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:49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:49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:49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:49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:49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:49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:49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:49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:49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:49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:49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:49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:49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:49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:49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:49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:49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:49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:49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:49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:49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:49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:49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:49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:49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:49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:49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:49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:49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:49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:49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:49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:49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:49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:49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:49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:49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:49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:49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:49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:49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:49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:49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:49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:49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:49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:49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:49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:49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:49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:49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:49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:49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:49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:49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:49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:49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:49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:49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:49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:49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:49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:49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:49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:49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:49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:49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:49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:49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:49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:49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:49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:49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:49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:49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:49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:49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:49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:49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:49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:49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:49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:49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:49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:49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:49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:49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:49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:49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:49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:49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:49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:49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:49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:49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:49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:49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:49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:49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:49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:49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:49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:49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:49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:49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:49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:49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:49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:49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:49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:49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:49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:49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:49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:49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:49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:49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:49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:49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:49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:49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:49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:49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:49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:49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:49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:49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:49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:49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:49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:49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:49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:49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:49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:49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:49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:49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:49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:49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:49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:49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:49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:49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:49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:49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:49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:49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:49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:49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:49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:49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:49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:49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:49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:49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:49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:49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:49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:49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:49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:49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:49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:49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:49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:49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:49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:49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:49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:49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:49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:49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:49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:49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:49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:49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:49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:49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:49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:49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:49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:49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:49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:49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:49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:49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:49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:49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:49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:49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:49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:49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:49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:49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:49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:49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:49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:49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:49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:49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:49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:49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:49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:49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:49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:49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:49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:49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:49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:49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:49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:49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:49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:49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:49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:49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:49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:49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:49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:49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:49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:49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:49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:49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:49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:49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:49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:49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:49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:49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:49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:49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:49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:49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:49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:49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:49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:49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:49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:49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:49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:49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:49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:49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:49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:49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:49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:49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:49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:49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:49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:49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:49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:49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:49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:49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:49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:49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:49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:49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:49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:49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:49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:49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:49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:49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:49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:49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:49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:49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:49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:49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:49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:49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:49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:49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:49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:49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:49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:49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:49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:49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:49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:49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:49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:49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:49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:49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:49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:49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:49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:49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:49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:49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:49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:49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:49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:49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:49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:49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:49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:49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:49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:49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:49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:49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:49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:49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:49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:49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:49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:49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:49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:49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:49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:49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:49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:49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:49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:49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:49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:49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:49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:49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:49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:49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:49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:49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:49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:49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:49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:49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:49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:49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:49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:49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:49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:49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:49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:49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:49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:49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:49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:49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:49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:49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:49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:49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:49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:49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:49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:49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:49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:49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:49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:49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:49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:49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:49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:49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:49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:49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:49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:49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:49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:49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:49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:49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:49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:49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:49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spans="1:49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spans="1:49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spans="1:49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spans="1:49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spans="1:49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spans="1:49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spans="1:49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spans="1:49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spans="1:49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spans="1:49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spans="1:49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spans="1:49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spans="1:49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spans="1:49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spans="1:49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spans="1:49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spans="1:49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spans="1:49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spans="1:49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spans="1:49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spans="1:49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spans="1:49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spans="1:49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spans="1:49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spans="1:49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spans="1:49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spans="1:49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spans="1:49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spans="1:49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spans="1:49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spans="1:49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spans="1:49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spans="1:49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spans="1:49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spans="1:49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spans="1:49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spans="1:49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spans="1:49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spans="1:49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spans="1:49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spans="1:49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spans="1:49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spans="1:49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spans="1:49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spans="1:49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spans="1:49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spans="1:49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spans="1:49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spans="1:49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spans="1:49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spans="1:49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spans="1:49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spans="1:49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mergeCells count="109">
    <mergeCell ref="Z70:AF70"/>
    <mergeCell ref="D34:H34"/>
    <mergeCell ref="D35:H35"/>
    <mergeCell ref="A38:AQ38"/>
    <mergeCell ref="A40:AQ40"/>
    <mergeCell ref="A36:H36"/>
    <mergeCell ref="A63:T63"/>
    <mergeCell ref="A31:B32"/>
    <mergeCell ref="D31:H31"/>
    <mergeCell ref="D32:H32"/>
    <mergeCell ref="A33:B35"/>
    <mergeCell ref="D33:H33"/>
    <mergeCell ref="AT30:AU30"/>
    <mergeCell ref="AV24:AV30"/>
    <mergeCell ref="AR25:AS25"/>
    <mergeCell ref="AT25:AU25"/>
    <mergeCell ref="AR26:AS26"/>
    <mergeCell ref="AT26:AU26"/>
    <mergeCell ref="AR27:AS27"/>
    <mergeCell ref="AT27:AU27"/>
    <mergeCell ref="AR24:AS24"/>
    <mergeCell ref="AT24:AU24"/>
    <mergeCell ref="U22:U23"/>
    <mergeCell ref="V22:V23"/>
    <mergeCell ref="W22:W23"/>
    <mergeCell ref="AR36:AS36"/>
    <mergeCell ref="AR37:AS41"/>
    <mergeCell ref="AT37:AU41"/>
    <mergeCell ref="AT73:AV73"/>
    <mergeCell ref="AR33:AS33"/>
    <mergeCell ref="AT33:AU33"/>
    <mergeCell ref="AV33:AV35"/>
    <mergeCell ref="AR34:AS34"/>
    <mergeCell ref="AT34:AU34"/>
    <mergeCell ref="AR35:AS35"/>
    <mergeCell ref="AT35:AU35"/>
    <mergeCell ref="AR31:AS31"/>
    <mergeCell ref="AT31:AU31"/>
    <mergeCell ref="AV31:AV32"/>
    <mergeCell ref="AR32:AS32"/>
    <mergeCell ref="AT32:AU32"/>
    <mergeCell ref="AR28:AS28"/>
    <mergeCell ref="AT28:AU28"/>
    <mergeCell ref="AR29:AS29"/>
    <mergeCell ref="AT29:AU29"/>
    <mergeCell ref="AR30:AS30"/>
    <mergeCell ref="Y22:Y23"/>
    <mergeCell ref="Z22:Z23"/>
    <mergeCell ref="AA22:AA23"/>
    <mergeCell ref="AB22:AB23"/>
    <mergeCell ref="AM22:AM23"/>
    <mergeCell ref="AN22:AN23"/>
    <mergeCell ref="AO22:AO23"/>
    <mergeCell ref="AP22:AP23"/>
    <mergeCell ref="AQ22:AQ23"/>
    <mergeCell ref="AH22:AH23"/>
    <mergeCell ref="AI22:AI23"/>
    <mergeCell ref="AJ22:AJ23"/>
    <mergeCell ref="AK22:AK23"/>
    <mergeCell ref="AL22:AL23"/>
    <mergeCell ref="AF22:AF23"/>
    <mergeCell ref="A24:B30"/>
    <mergeCell ref="D24:H24"/>
    <mergeCell ref="D25:H25"/>
    <mergeCell ref="D26:H26"/>
    <mergeCell ref="D27:H27"/>
    <mergeCell ref="D30:H30"/>
    <mergeCell ref="D28:H28"/>
    <mergeCell ref="D29:H29"/>
    <mergeCell ref="X22:X23"/>
    <mergeCell ref="P22:P23"/>
    <mergeCell ref="Q22:Q23"/>
    <mergeCell ref="A21:B23"/>
    <mergeCell ref="C21:H23"/>
    <mergeCell ref="I21:AQ21"/>
    <mergeCell ref="J22:J23"/>
    <mergeCell ref="K22:K23"/>
    <mergeCell ref="L22:L23"/>
    <mergeCell ref="M22:M23"/>
    <mergeCell ref="N22:N23"/>
    <mergeCell ref="O22:O23"/>
    <mergeCell ref="AG22:AG23"/>
    <mergeCell ref="AC22:AC23"/>
    <mergeCell ref="T22:T23"/>
    <mergeCell ref="I22:I23"/>
    <mergeCell ref="AD22:AD23"/>
    <mergeCell ref="AE22:AE23"/>
    <mergeCell ref="AS1:AV1"/>
    <mergeCell ref="A2:AV2"/>
    <mergeCell ref="A3:AV3"/>
    <mergeCell ref="A7:C7"/>
    <mergeCell ref="F7:P7"/>
    <mergeCell ref="A9:C9"/>
    <mergeCell ref="F9:P9"/>
    <mergeCell ref="AA13:AD13"/>
    <mergeCell ref="AA15:AD15"/>
    <mergeCell ref="A11:C11"/>
    <mergeCell ref="F11:G11"/>
    <mergeCell ref="AA11:AD11"/>
    <mergeCell ref="A13:C13"/>
    <mergeCell ref="F13:G13"/>
    <mergeCell ref="G15:I15"/>
    <mergeCell ref="L15:P15"/>
    <mergeCell ref="AA17:AB17"/>
    <mergeCell ref="AR21:AS23"/>
    <mergeCell ref="AT21:AU23"/>
    <mergeCell ref="AV21:AV23"/>
    <mergeCell ref="R22:R23"/>
    <mergeCell ref="S22:S23"/>
  </mergeCells>
  <pageMargins left="0.7" right="0.7" top="0.75" bottom="0.75" header="0" footer="0"/>
  <pageSetup scale="3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Edited Sept 17 </vt:lpstr>
      <vt:lpstr>'Edited Sept 17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Hilmee Izanee</cp:lastModifiedBy>
  <cp:lastPrinted>2026-02-19T09:48:40Z</cp:lastPrinted>
  <dcterms:created xsi:type="dcterms:W3CDTF">2011-10-18T22:46:16Z</dcterms:created>
  <dcterms:modified xsi:type="dcterms:W3CDTF">2026-02-19T13:54:58Z</dcterms:modified>
</cp:coreProperties>
</file>